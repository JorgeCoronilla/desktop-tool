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Producto</v>
      </c>
      <c r="B1" t="str">
        <v>Q1</v>
      </c>
      <c r="C1" t="str">
        <v>Q2</v>
      </c>
      <c r="D1" t="str">
        <v>Q3</v>
      </c>
      <c r="E1" t="str">
        <v>Q4</v>
      </c>
      <c r="F1" t="str">
        <v>Total Anual</v>
      </c>
      <c r="G1" t="str">
        <v>Promedio</v>
      </c>
      <c r="H1" t="str">
        <v>Max Trimestre</v>
      </c>
    </row>
    <row r="2">
      <c r="A2" t="str">
        <v>Laptops</v>
      </c>
      <c r="B2">
        <v>1000</v>
      </c>
      <c r="C2">
        <v>1200</v>
      </c>
      <c r="D2">
        <v>1100</v>
      </c>
      <c r="E2">
        <v>1300</v>
      </c>
      <c r="F2">
        <f>SUM(B2:E2)</f>
        <v>4600</v>
      </c>
      <c r="G2">
        <f>AVERAGE(B2:E2)</f>
        <v>1150</v>
      </c>
      <c r="H2">
        <f>MAX(B2:E2)</f>
        <v>1300</v>
      </c>
    </row>
    <row r="3">
      <c r="A3" t="str">
        <v>Tablets</v>
      </c>
      <c r="B3">
        <v>800</v>
      </c>
      <c r="C3">
        <v>900</v>
      </c>
      <c r="D3">
        <v>850</v>
      </c>
      <c r="E3">
        <v>950</v>
      </c>
      <c r="F3">
        <f>SUM(B3:E3)</f>
        <v>3500</v>
      </c>
      <c r="G3">
        <f>AVERAGE(B3:E3)</f>
        <v>875</v>
      </c>
      <c r="H3">
        <f>MAX(B3:E3)</f>
        <v>950</v>
      </c>
    </row>
    <row r="4">
      <c r="A4" t="str">
        <v>Smartphones</v>
      </c>
      <c r="B4">
        <v>1500</v>
      </c>
      <c r="C4">
        <v>1600</v>
      </c>
      <c r="D4">
        <v>1550</v>
      </c>
      <c r="E4">
        <v>1700</v>
      </c>
      <c r="F4">
        <f>SUM(B4:E4)</f>
        <v>6350</v>
      </c>
      <c r="G4">
        <f>AVERAGE(B4:E4)</f>
        <v>1587.5</v>
      </c>
      <c r="H4">
        <f>MAX(B4:E4)</f>
        <v>1700</v>
      </c>
    </row>
    <row r="5">
      <c r="A5" t="str">
        <v>Accesorios</v>
      </c>
      <c r="B5">
        <v>300</v>
      </c>
      <c r="C5">
        <v>350</v>
      </c>
      <c r="D5">
        <v>320</v>
      </c>
      <c r="E5">
        <v>380</v>
      </c>
      <c r="F5">
        <f>SUM(B5:E5)</f>
        <v>1350</v>
      </c>
      <c r="G5">
        <f>AVERAGE(B5:E5)</f>
        <v>337.5</v>
      </c>
      <c r="H5">
        <f>MAX(B5:E5)</f>
        <v>380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TOTALES</v>
      </c>
      <c r="B7">
        <f>SUM(B2:B5)</f>
        <v>3600</v>
      </c>
      <c r="C7">
        <f>SUM(C2:C5)</f>
        <v>4050</v>
      </c>
      <c r="D7">
        <f>SUM(D2:D5)</f>
        <v>3820</v>
      </c>
      <c r="E7">
        <f>SUM(E2:E5)</f>
        <v>4330</v>
      </c>
      <c r="F7">
        <f>SUM(F2:F5)</f>
        <v>15800</v>
      </c>
      <c r="G7">
        <f>AVERAGE(F2:F5)</f>
        <v>3950</v>
      </c>
      <c r="H7">
        <f>MAX(F2:F5)</f>
        <v>6350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Análisis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Mejor Trimestre</v>
      </c>
      <c r="B10" t="e">
        <f>INDEX(B1:E1,MATCH(MAX(B7:E7),B7:E7,0))</f>
        <v>#REF!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Crecimiento Q4 vs Q1</v>
      </c>
      <c r="B11">
        <f>((E7-B7)/B7)*100</f>
        <v>20.27777777777778</v>
      </c>
      <c r="C11" t="str">
        <v>% de crecimiento</v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Producto Top</v>
      </c>
      <c r="B12" t="str">
        <f>INDEX(A2:A5,MATCH(MAX(F2:F5),F2:F5,0))</f>
        <v>Smartphones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